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RESORAS TERMICAS" sheetId="1" r:id="rId5"/>
  </sheets>
  <definedNames>
    <definedName localSheetId="0" name="excel2">'IMPRESORAS TERMICAS'!$A$2:$H$98</definedName>
    <definedName localSheetId="0" name="EXCEL">'IMPRESORAS TERMICAS'!$C$1:$H$99</definedName>
    <definedName hidden="1" localSheetId="0" name="_xlnm._FilterDatabase">'IMPRESORAS TERMICAS'!$A$1:$J$76</definedName>
  </definedNames>
  <calcPr/>
</workbook>
</file>

<file path=xl/sharedStrings.xml><?xml version="1.0" encoding="utf-8"?>
<sst xmlns="http://schemas.openxmlformats.org/spreadsheetml/2006/main" count="599" uniqueCount="186">
  <si>
    <t>CODIGO COMPLETO</t>
  </si>
  <si>
    <t>MODELO</t>
  </si>
  <si>
    <t>CODIGO</t>
  </si>
  <si>
    <t>CIUDAD</t>
  </si>
  <si>
    <t>Estado (Activo/Inactivo/Reparación)</t>
  </si>
  <si>
    <t>SUPERVISOR</t>
  </si>
  <si>
    <t>Usuario Asignado O Encargado</t>
  </si>
  <si>
    <t>PROYECTO</t>
  </si>
  <si>
    <t>OBSERVACION</t>
  </si>
  <si>
    <t>OBSERVACION 19/05/2026</t>
  </si>
  <si>
    <t>DP30</t>
  </si>
  <si>
    <t>Y308021032</t>
  </si>
  <si>
    <t>COCHABAMBA</t>
  </si>
  <si>
    <t>ACTIVO</t>
  </si>
  <si>
    <t>MURIEL MERCADO</t>
  </si>
  <si>
    <t>DIEGO COLQUE</t>
  </si>
  <si>
    <t>BNB</t>
  </si>
  <si>
    <t>Y404129685</t>
  </si>
  <si>
    <t>VANIA GRAGEDA</t>
  </si>
  <si>
    <t>Y404229696</t>
  </si>
  <si>
    <t>PAMELA CALANI</t>
  </si>
  <si>
    <t>INACTIVO/EN REPARACION</t>
  </si>
  <si>
    <t>Y404429682</t>
  </si>
  <si>
    <t>HASIRA OSINAGA</t>
  </si>
  <si>
    <t>Y404829606</t>
  </si>
  <si>
    <t>ACTIVO/REPARADA/TAPA FRAGIL/LA MAS VIEJITA/TINTA BAJA</t>
  </si>
  <si>
    <t>Y40482A345</t>
  </si>
  <si>
    <t>VLADIMIR SUTURI</t>
  </si>
  <si>
    <t>Y405120878</t>
  </si>
  <si>
    <t>NANCY SANDIVEL</t>
  </si>
  <si>
    <t>ACTIVA/REPARADA/TAPA FRAGIL</t>
  </si>
  <si>
    <t>Y408220769</t>
  </si>
  <si>
    <t>GABRIELA JAIMES</t>
  </si>
  <si>
    <t>Y408720952</t>
  </si>
  <si>
    <t>RONALD SANCHEZ</t>
  </si>
  <si>
    <t>Y408820951</t>
  </si>
  <si>
    <t>ALAN TORO</t>
  </si>
  <si>
    <t>DP30S</t>
  </si>
  <si>
    <t>Y511026312</t>
  </si>
  <si>
    <t>NATALIA VILLARROEL</t>
  </si>
  <si>
    <t>BILLE</t>
  </si>
  <si>
    <t>ACTIVO-TODAS ROTARIO</t>
  </si>
  <si>
    <t>Y511326452</t>
  </si>
  <si>
    <t>Y511426328</t>
  </si>
  <si>
    <t>Y511826298</t>
  </si>
  <si>
    <t>LA PAZ</t>
  </si>
  <si>
    <t>ACTIVO /NO CARGA</t>
  </si>
  <si>
    <t>Gercy Ergueta</t>
  </si>
  <si>
    <t>WILSON ESCALIER</t>
  </si>
  <si>
    <t>INACTIVO-EN MANOS DE LIONEL</t>
  </si>
  <si>
    <t>CARLA TORREZ</t>
  </si>
  <si>
    <t>Y311227931</t>
  </si>
  <si>
    <t>GERCY ERGUETA</t>
  </si>
  <si>
    <t>INACTIVO</t>
  </si>
  <si>
    <t>Y311327936</t>
  </si>
  <si>
    <t>LIONEL CHABUR</t>
  </si>
  <si>
    <t>Y311427969</t>
  </si>
  <si>
    <t xml:space="preserve">MILENKA ORDOÑEZ </t>
  </si>
  <si>
    <t>MARIA ELENA PERALTA JORDAN</t>
  </si>
  <si>
    <t>Y311527958</t>
  </si>
  <si>
    <t xml:space="preserve">MAGALI HUANCA </t>
  </si>
  <si>
    <t>BORIS RAMOS</t>
  </si>
  <si>
    <t>Y311627935</t>
  </si>
  <si>
    <t>Y311727939</t>
  </si>
  <si>
    <t>Y311927918</t>
  </si>
  <si>
    <t>DAVID HUANCA</t>
  </si>
  <si>
    <t>ACTIVO-IMPRESORA EN TARIJA</t>
  </si>
  <si>
    <t>Y311927921</t>
  </si>
  <si>
    <t>SAMIEL TORRICOS</t>
  </si>
  <si>
    <t>Y404729681</t>
  </si>
  <si>
    <t>ANGELA LUCÍA GONZALES MOGRO</t>
  </si>
  <si>
    <t>Y404929602</t>
  </si>
  <si>
    <t>ELIAN NICOLAS HUACOTE SUXO</t>
  </si>
  <si>
    <t>Y408120969</t>
  </si>
  <si>
    <t>RUTH CELINA PONCE PACO</t>
  </si>
  <si>
    <t>Y408120972</t>
  </si>
  <si>
    <t>WENDY HUANCA</t>
  </si>
  <si>
    <t>Y408320892</t>
  </si>
  <si>
    <t xml:space="preserve">ACTIVO </t>
  </si>
  <si>
    <t>ACTIVO-BILLE</t>
  </si>
  <si>
    <t>Y408420979</t>
  </si>
  <si>
    <t>ERIKA MICHEL CALLE ESCOBAR</t>
  </si>
  <si>
    <t>Y408520843</t>
  </si>
  <si>
    <t>WILSON MACHACA</t>
  </si>
  <si>
    <t>Y408620932</t>
  </si>
  <si>
    <t xml:space="preserve">CLAUDIA NINA </t>
  </si>
  <si>
    <t>Y408720767</t>
  </si>
  <si>
    <t>SUXO VARGAS MARIBEL VALERIA</t>
  </si>
  <si>
    <t>Y408720796</t>
  </si>
  <si>
    <t>JHANNET QUISPE</t>
  </si>
  <si>
    <t>Y41012C730</t>
  </si>
  <si>
    <t xml:space="preserve">SILVANA ASUNCIÓN ORDOÑEZ NUÑEZ </t>
  </si>
  <si>
    <t>Y511026239</t>
  </si>
  <si>
    <t xml:space="preserve">LIONEL CHABUR LOZA </t>
  </si>
  <si>
    <t>ALTOKE</t>
  </si>
  <si>
    <t>Y511226390</t>
  </si>
  <si>
    <t>ANGEL BLANCO RONDO</t>
  </si>
  <si>
    <t>Y511426287</t>
  </si>
  <si>
    <t>Y511826371</t>
  </si>
  <si>
    <t>Y511926281</t>
  </si>
  <si>
    <t>Y511926393</t>
  </si>
  <si>
    <t>Y511926418</t>
  </si>
  <si>
    <t>ACTIVO-BNB</t>
  </si>
  <si>
    <t>Y311327923</t>
  </si>
  <si>
    <t>ORURO</t>
  </si>
  <si>
    <t>MIRIAM ROSA CHAMBI QUISPE</t>
  </si>
  <si>
    <t>KIMBERLY CAROLINA QUISPE ARANCIBIA</t>
  </si>
  <si>
    <t>Y311527932</t>
  </si>
  <si>
    <t>GIMENA MELVIS HUANCA GOMEZ</t>
  </si>
  <si>
    <t>Y40492A341</t>
  </si>
  <si>
    <t>LUZ MARIBEL TAQUIMALLCO VIRACA</t>
  </si>
  <si>
    <t>Y408120802</t>
  </si>
  <si>
    <t>TATIANA CRISTINA CRUZ TORRICO</t>
  </si>
  <si>
    <t>Y405021792</t>
  </si>
  <si>
    <t>PANDO</t>
  </si>
  <si>
    <t>BAJA</t>
  </si>
  <si>
    <t>CARLA NUÑEZ</t>
  </si>
  <si>
    <t>SE PASÓ A BILLE PORPIEDAD DE BCP</t>
  </si>
  <si>
    <t>Y408320917</t>
  </si>
  <si>
    <t>RIBERALTA</t>
  </si>
  <si>
    <t>DAVID GONZALES</t>
  </si>
  <si>
    <t>EN OFICINA M40</t>
  </si>
  <si>
    <t>Y402027050</t>
  </si>
  <si>
    <t>SANTA CRUZ</t>
  </si>
  <si>
    <t>Beatriz Oviedo</t>
  </si>
  <si>
    <t>LUIS THIAGO MIRANDA OVANDO</t>
  </si>
  <si>
    <t>Y404829718</t>
  </si>
  <si>
    <t>INACTIVO / NO IMPRIME NO TIENE CONEXIÓN A BLUET</t>
  </si>
  <si>
    <t>BEATRIZ OVIEDO</t>
  </si>
  <si>
    <t>INACTIVA ENTREGADO A LA EMPRESA (YA EN REPARACION)</t>
  </si>
  <si>
    <t>Y405321829</t>
  </si>
  <si>
    <t>SANDRA VERÓNICA VEGA TROCHE</t>
  </si>
  <si>
    <t>ACTIVA (OBSERVADA PENDIENTE A DEVOLVERLA GESTORA)</t>
  </si>
  <si>
    <t>Y408120930</t>
  </si>
  <si>
    <t>ACTIVO-EN MANOS DE DELIA JORDAN</t>
  </si>
  <si>
    <t>Y408320946</t>
  </si>
  <si>
    <t>MARCO ANTONIO ESCOBAR ALVAREZ</t>
  </si>
  <si>
    <t>Y408520971</t>
  </si>
  <si>
    <t>INACTIVO / ENERGÍA DE ABTERIA DEMASIADO ALTA</t>
  </si>
  <si>
    <t>EN LA EMPRESA</t>
  </si>
  <si>
    <t>Y408820782</t>
  </si>
  <si>
    <t>Y511226402</t>
  </si>
  <si>
    <t>LUIS ALBERTO SAUCEDO</t>
  </si>
  <si>
    <t>DELIA JORDAN</t>
  </si>
  <si>
    <t>ENTREGADA 19/05</t>
  </si>
  <si>
    <t>Y511326171</t>
  </si>
  <si>
    <t xml:space="preserve">EN CAJA </t>
  </si>
  <si>
    <t>ENVIADA A TARIJA 02/06/2026</t>
  </si>
  <si>
    <t>Y511326340</t>
  </si>
  <si>
    <t>Y511326353</t>
  </si>
  <si>
    <t>JOSE GUTIERREZ PEDRAZA</t>
  </si>
  <si>
    <t>Y511626378</t>
  </si>
  <si>
    <t>EN CAJA</t>
  </si>
  <si>
    <t>Y511826368</t>
  </si>
  <si>
    <t>Y511426146</t>
  </si>
  <si>
    <t>Y511626167</t>
  </si>
  <si>
    <t>Y511926179</t>
  </si>
  <si>
    <t>Y512028285</t>
  </si>
  <si>
    <t>ENTREGADO A DELIA JORDAN 29/05/2026</t>
  </si>
  <si>
    <t>Y512428262</t>
  </si>
  <si>
    <t>CARGADOR MAL</t>
  </si>
  <si>
    <t>Y512728203</t>
  </si>
  <si>
    <t>Y512728302</t>
  </si>
  <si>
    <t>Y408020950</t>
  </si>
  <si>
    <t>SUCRE</t>
  </si>
  <si>
    <t>JENNY ECHALAR</t>
  </si>
  <si>
    <t>Y408320920</t>
  </si>
  <si>
    <t>LUIS ANGEL SIHUAIROS CANO</t>
  </si>
  <si>
    <t>PD30</t>
  </si>
  <si>
    <t>Y408420797</t>
  </si>
  <si>
    <t>VALERIA ALEJANDRA DURAN TRIGO</t>
  </si>
  <si>
    <t>Y404029676</t>
  </si>
  <si>
    <t>TARIJA</t>
  </si>
  <si>
    <t>MARIA DAZA</t>
  </si>
  <si>
    <t>Y408020765</t>
  </si>
  <si>
    <t>DP30-Y408720910</t>
  </si>
  <si>
    <t>Y408720910</t>
  </si>
  <si>
    <t>Patricia Huayllas</t>
  </si>
  <si>
    <t>Bille</t>
  </si>
  <si>
    <t>ACTIVO-IMPRESORA NUEVA</t>
  </si>
  <si>
    <t>DP30-Y408220967</t>
  </si>
  <si>
    <t>Y408220967</t>
  </si>
  <si>
    <t>La Paz</t>
  </si>
  <si>
    <t>inactiva (no conecta Bluetooth)</t>
  </si>
  <si>
    <t>Claudia Shaskia Calle Nina</t>
  </si>
  <si>
    <t>Lionel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</si>
</sst>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</font>
    <font>
      <b/>
      <sz val="12.0"/>
      <color theme="0"/>
      <name val="Arial"/>
    </font>
    <font>
      <b/>
      <sz val="12.0"/>
      <color rgb="FFFFFFFF"/>
      <name val="Arial"/>
    </font>
    <font>
      <sz val="11.0"/>
      <color theme="1"/>
      <name val="Calibri"/>
    </font>
    <font>
      <sz val="10.0"/>
      <color rgb="FF000000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85623"/>
        <bgColor rgb="FF385623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vertical="center" wrapText="1"/>
    </xf>
    <xf borderId="2" fillId="3" fontId="2" numFmtId="0" xfId="0" applyAlignment="1" applyBorder="1" applyFill="1" applyFont="1">
      <alignment horizontal="left" readingOrder="1" shrinkToFit="0" vertical="center" wrapText="1"/>
    </xf>
    <xf borderId="2" fillId="3" fontId="3" numFmtId="0" xfId="0" applyAlignment="1" applyBorder="1" applyFont="1">
      <alignment horizontal="left" readingOrder="1" shrinkToFit="0" vertical="center" wrapText="1"/>
    </xf>
    <xf borderId="2" fillId="0" fontId="4" numFmtId="0" xfId="0" applyBorder="1" applyFont="1"/>
    <xf borderId="2" fillId="0" fontId="4" numFmtId="0" xfId="0" applyAlignment="1" applyBorder="1" applyFont="1">
      <alignment readingOrder="0"/>
    </xf>
    <xf borderId="2" fillId="4" fontId="5" numFmtId="0" xfId="0" applyAlignment="1" applyBorder="1" applyFill="1" applyFont="1">
      <alignment horizontal="left" readingOrder="0"/>
    </xf>
    <xf borderId="2" fillId="0" fontId="4" numFmtId="0" xfId="0" applyAlignment="1" applyBorder="1" applyFont="1">
      <alignment horizontal="left"/>
    </xf>
    <xf borderId="3" fillId="0" fontId="4" numFmtId="0" xfId="0" applyBorder="1" applyFont="1"/>
    <xf borderId="0" fillId="0" fontId="4" numFmtId="0" xfId="0" applyFont="1"/>
    <xf borderId="0" fillId="0" fontId="4" numFmtId="0" xfId="0" applyAlignment="1" applyFont="1">
      <alignment readingOrder="0"/>
    </xf>
    <xf borderId="3" fillId="5" fontId="4" numFmtId="0" xfId="0" applyBorder="1" applyFill="1" applyFont="1"/>
    <xf borderId="2" fillId="5" fontId="4" numFmtId="0" xfId="0" applyBorder="1" applyFont="1"/>
    <xf borderId="3" fillId="0" fontId="4" numFmtId="0" xfId="0" applyAlignment="1" applyBorder="1" applyFont="1">
      <alignment readingOrder="0"/>
    </xf>
    <xf borderId="2" fillId="4" fontId="4" numFmtId="0" xfId="0" applyBorder="1" applyFont="1"/>
    <xf borderId="3" fillId="4" fontId="4" numFmtId="0" xfId="0" applyBorder="1" applyFont="1"/>
    <xf borderId="3" fillId="4" fontId="4" numFmtId="0" xfId="0" applyAlignment="1" applyBorder="1" applyFont="1">
      <alignment readingOrder="0"/>
    </xf>
    <xf borderId="2" fillId="6" fontId="4" numFmtId="0" xfId="0" applyBorder="1" applyFill="1" applyFont="1"/>
    <xf borderId="3" fillId="6" fontId="4" numFmtId="0" xfId="0" applyBorder="1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7.5"/>
    <col customWidth="1" min="3" max="3" width="22.75"/>
    <col customWidth="1" min="4" max="4" width="18.13"/>
    <col customWidth="1" min="5" max="5" width="35.25"/>
    <col customWidth="1" min="6" max="6" width="29.5"/>
    <col customWidth="1" min="7" max="7" width="31.63"/>
    <col customWidth="1" min="8" max="8" width="15.0"/>
    <col customWidth="1" min="9" max="9" width="18.25"/>
    <col customWidth="1" min="10" max="10" width="50.25"/>
    <col customWidth="1" min="11" max="27" width="10.0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ht="14.25" customHeight="1">
      <c r="A2" s="4" t="str">
        <f t="shared" ref="A2:A68" si="1">CONCATENATE(B2,"-",C2)</f>
        <v>DP30-Y308021032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/>
      <c r="J2" s="5" t="s">
        <v>13</v>
      </c>
    </row>
    <row r="3" ht="14.25" customHeight="1">
      <c r="A3" s="4" t="str">
        <f t="shared" si="1"/>
        <v>DP30-Y404129685</v>
      </c>
      <c r="B3" s="4" t="s">
        <v>10</v>
      </c>
      <c r="C3" s="4" t="s">
        <v>17</v>
      </c>
      <c r="D3" s="4" t="s">
        <v>12</v>
      </c>
      <c r="E3" s="4" t="s">
        <v>13</v>
      </c>
      <c r="F3" s="4" t="s">
        <v>14</v>
      </c>
      <c r="G3" s="4" t="s">
        <v>18</v>
      </c>
      <c r="H3" s="4" t="s">
        <v>16</v>
      </c>
      <c r="I3" s="4"/>
      <c r="J3" s="5" t="s">
        <v>13</v>
      </c>
    </row>
    <row r="4" ht="14.25" customHeight="1">
      <c r="A4" s="4" t="str">
        <f t="shared" si="1"/>
        <v>DP30-Y404229696</v>
      </c>
      <c r="B4" s="4" t="s">
        <v>10</v>
      </c>
      <c r="C4" s="4" t="s">
        <v>19</v>
      </c>
      <c r="D4" s="4" t="s">
        <v>12</v>
      </c>
      <c r="E4" s="4" t="s">
        <v>13</v>
      </c>
      <c r="F4" s="4" t="s">
        <v>14</v>
      </c>
      <c r="G4" s="4" t="s">
        <v>20</v>
      </c>
      <c r="H4" s="4" t="s">
        <v>16</v>
      </c>
      <c r="I4" s="4"/>
      <c r="J4" s="6" t="s">
        <v>21</v>
      </c>
    </row>
    <row r="5" ht="14.25" customHeight="1">
      <c r="A5" s="4" t="str">
        <f t="shared" si="1"/>
        <v>DP30-Y404429682</v>
      </c>
      <c r="B5" s="4" t="s">
        <v>10</v>
      </c>
      <c r="C5" s="4" t="s">
        <v>22</v>
      </c>
      <c r="D5" s="4" t="s">
        <v>12</v>
      </c>
      <c r="E5" s="4" t="s">
        <v>13</v>
      </c>
      <c r="F5" s="4" t="s">
        <v>14</v>
      </c>
      <c r="G5" s="4" t="s">
        <v>23</v>
      </c>
      <c r="H5" s="4" t="s">
        <v>16</v>
      </c>
      <c r="I5" s="4"/>
      <c r="J5" s="5" t="s">
        <v>13</v>
      </c>
    </row>
    <row r="6" ht="14.25" customHeight="1">
      <c r="A6" s="4" t="str">
        <f t="shared" si="1"/>
        <v>DP30-Y404829606</v>
      </c>
      <c r="B6" s="4" t="s">
        <v>10</v>
      </c>
      <c r="C6" s="4" t="s">
        <v>24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16</v>
      </c>
      <c r="I6" s="4"/>
      <c r="J6" s="5" t="s">
        <v>25</v>
      </c>
    </row>
    <row r="7" ht="14.25" customHeight="1">
      <c r="A7" s="4" t="str">
        <f t="shared" si="1"/>
        <v>DP30-Y40482A345</v>
      </c>
      <c r="B7" s="4" t="s">
        <v>10</v>
      </c>
      <c r="C7" s="4" t="s">
        <v>26</v>
      </c>
      <c r="D7" s="4" t="s">
        <v>12</v>
      </c>
      <c r="E7" s="4" t="s">
        <v>13</v>
      </c>
      <c r="F7" s="4" t="s">
        <v>14</v>
      </c>
      <c r="G7" s="4" t="s">
        <v>27</v>
      </c>
      <c r="H7" s="4" t="s">
        <v>16</v>
      </c>
      <c r="I7" s="4"/>
      <c r="J7" s="5" t="s">
        <v>13</v>
      </c>
    </row>
    <row r="8" ht="14.25" customHeight="1">
      <c r="A8" s="4" t="str">
        <f t="shared" si="1"/>
        <v>DP30-Y405120878</v>
      </c>
      <c r="B8" s="4" t="s">
        <v>10</v>
      </c>
      <c r="C8" s="4" t="s">
        <v>28</v>
      </c>
      <c r="D8" s="4" t="s">
        <v>12</v>
      </c>
      <c r="E8" s="4" t="s">
        <v>13</v>
      </c>
      <c r="F8" s="4" t="s">
        <v>14</v>
      </c>
      <c r="G8" s="4" t="s">
        <v>29</v>
      </c>
      <c r="H8" s="4" t="s">
        <v>16</v>
      </c>
      <c r="I8" s="4"/>
      <c r="J8" s="4" t="s">
        <v>30</v>
      </c>
    </row>
    <row r="9" ht="14.25" customHeight="1">
      <c r="A9" s="4" t="str">
        <f t="shared" si="1"/>
        <v>DP30-Y408220769</v>
      </c>
      <c r="B9" s="4" t="s">
        <v>10</v>
      </c>
      <c r="C9" s="4" t="s">
        <v>31</v>
      </c>
      <c r="D9" s="4" t="s">
        <v>12</v>
      </c>
      <c r="E9" s="4" t="s">
        <v>13</v>
      </c>
      <c r="F9" s="4" t="s">
        <v>14</v>
      </c>
      <c r="G9" s="4" t="s">
        <v>32</v>
      </c>
      <c r="H9" s="4" t="s">
        <v>16</v>
      </c>
      <c r="I9" s="4"/>
      <c r="J9" s="5" t="s">
        <v>13</v>
      </c>
    </row>
    <row r="10" ht="14.25" customHeight="1">
      <c r="A10" s="4" t="str">
        <f t="shared" si="1"/>
        <v>DP30-Y408720952</v>
      </c>
      <c r="B10" s="4" t="s">
        <v>10</v>
      </c>
      <c r="C10" s="4" t="s">
        <v>33</v>
      </c>
      <c r="D10" s="4" t="s">
        <v>12</v>
      </c>
      <c r="E10" s="4" t="s">
        <v>13</v>
      </c>
      <c r="F10" s="4" t="s">
        <v>14</v>
      </c>
      <c r="G10" s="4" t="s">
        <v>34</v>
      </c>
      <c r="H10" s="4" t="s">
        <v>16</v>
      </c>
      <c r="I10" s="4"/>
      <c r="J10" s="5" t="s">
        <v>13</v>
      </c>
    </row>
    <row r="11" ht="14.25" customHeight="1">
      <c r="A11" s="4" t="str">
        <f t="shared" si="1"/>
        <v>DP30-Y408820951</v>
      </c>
      <c r="B11" s="4" t="s">
        <v>10</v>
      </c>
      <c r="C11" s="4" t="s">
        <v>35</v>
      </c>
      <c r="D11" s="4" t="s">
        <v>12</v>
      </c>
      <c r="E11" s="4" t="s">
        <v>13</v>
      </c>
      <c r="F11" s="4" t="s">
        <v>14</v>
      </c>
      <c r="G11" s="4" t="s">
        <v>36</v>
      </c>
      <c r="H11" s="4" t="s">
        <v>16</v>
      </c>
      <c r="I11" s="4"/>
      <c r="J11" s="5" t="s">
        <v>13</v>
      </c>
    </row>
    <row r="12" ht="14.25" customHeight="1">
      <c r="A12" s="4" t="str">
        <f t="shared" si="1"/>
        <v>DP30S-Y511026312</v>
      </c>
      <c r="B12" s="4" t="s">
        <v>37</v>
      </c>
      <c r="C12" s="4" t="s">
        <v>38</v>
      </c>
      <c r="D12" s="4" t="s">
        <v>12</v>
      </c>
      <c r="E12" s="4" t="s">
        <v>13</v>
      </c>
      <c r="F12" s="4" t="s">
        <v>39</v>
      </c>
      <c r="G12" s="4" t="s">
        <v>39</v>
      </c>
      <c r="H12" s="4" t="s">
        <v>40</v>
      </c>
      <c r="I12" s="4"/>
      <c r="J12" s="5" t="s">
        <v>41</v>
      </c>
    </row>
    <row r="13" ht="14.25" customHeight="1">
      <c r="A13" s="4" t="str">
        <f t="shared" si="1"/>
        <v>DP30S-Y511326452</v>
      </c>
      <c r="B13" s="4" t="s">
        <v>37</v>
      </c>
      <c r="C13" s="4" t="s">
        <v>42</v>
      </c>
      <c r="D13" s="4" t="s">
        <v>12</v>
      </c>
      <c r="E13" s="4" t="s">
        <v>13</v>
      </c>
      <c r="F13" s="4" t="s">
        <v>39</v>
      </c>
      <c r="G13" s="4" t="s">
        <v>39</v>
      </c>
      <c r="H13" s="4" t="s">
        <v>40</v>
      </c>
      <c r="I13" s="4"/>
      <c r="J13" s="5" t="s">
        <v>41</v>
      </c>
    </row>
    <row r="14" ht="14.25" customHeight="1">
      <c r="A14" s="4" t="str">
        <f t="shared" si="1"/>
        <v>DP30S-Y511426328</v>
      </c>
      <c r="B14" s="4" t="s">
        <v>37</v>
      </c>
      <c r="C14" s="4" t="s">
        <v>43</v>
      </c>
      <c r="D14" s="4" t="s">
        <v>12</v>
      </c>
      <c r="E14" s="4" t="s">
        <v>13</v>
      </c>
      <c r="F14" s="4" t="s">
        <v>39</v>
      </c>
      <c r="G14" s="4" t="s">
        <v>39</v>
      </c>
      <c r="H14" s="4" t="s">
        <v>40</v>
      </c>
      <c r="I14" s="4"/>
      <c r="J14" s="5" t="s">
        <v>41</v>
      </c>
    </row>
    <row r="15" ht="14.25" customHeight="1">
      <c r="A15" s="4" t="str">
        <f t="shared" si="1"/>
        <v>DP30S-Y511826298</v>
      </c>
      <c r="B15" s="4" t="s">
        <v>37</v>
      </c>
      <c r="C15" s="4" t="s">
        <v>44</v>
      </c>
      <c r="D15" s="4" t="s">
        <v>12</v>
      </c>
      <c r="E15" s="4" t="s">
        <v>13</v>
      </c>
      <c r="F15" s="4" t="s">
        <v>39</v>
      </c>
      <c r="G15" s="4" t="s">
        <v>39</v>
      </c>
      <c r="H15" s="4" t="s">
        <v>40</v>
      </c>
      <c r="I15" s="4"/>
      <c r="J15" s="5" t="s">
        <v>41</v>
      </c>
    </row>
    <row r="16" ht="14.25" customHeight="1">
      <c r="A16" s="4" t="str">
        <f t="shared" si="1"/>
        <v>DP30-30570293</v>
      </c>
      <c r="B16" s="4" t="s">
        <v>10</v>
      </c>
      <c r="C16" s="7">
        <v>3.0570293E7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16</v>
      </c>
      <c r="I16" s="4"/>
      <c r="J16" s="5" t="s">
        <v>49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14.25" customHeight="1">
      <c r="A17" s="4" t="str">
        <f t="shared" si="1"/>
        <v>DP30-30570309</v>
      </c>
      <c r="B17" s="4" t="s">
        <v>10</v>
      </c>
      <c r="C17" s="7">
        <v>3.0570309E7</v>
      </c>
      <c r="D17" s="4" t="s">
        <v>45</v>
      </c>
      <c r="E17" s="4" t="s">
        <v>13</v>
      </c>
      <c r="F17" s="4" t="s">
        <v>47</v>
      </c>
      <c r="G17" s="4" t="s">
        <v>50</v>
      </c>
      <c r="H17" s="4" t="s">
        <v>16</v>
      </c>
      <c r="I17" s="4"/>
      <c r="J17" s="5" t="s">
        <v>13</v>
      </c>
    </row>
    <row r="18" ht="14.25" customHeight="1">
      <c r="A18" s="4" t="str">
        <f t="shared" si="1"/>
        <v>DP30-Y311227931</v>
      </c>
      <c r="B18" s="4" t="s">
        <v>10</v>
      </c>
      <c r="C18" s="4" t="s">
        <v>51</v>
      </c>
      <c r="D18" s="4" t="s">
        <v>45</v>
      </c>
      <c r="E18" s="4" t="s">
        <v>13</v>
      </c>
      <c r="F18" s="4" t="s">
        <v>47</v>
      </c>
      <c r="G18" s="4" t="s">
        <v>52</v>
      </c>
      <c r="H18" s="4" t="s">
        <v>16</v>
      </c>
      <c r="I18" s="9"/>
      <c r="J18" s="10" t="s">
        <v>53</v>
      </c>
    </row>
    <row r="19" ht="14.25" customHeight="1">
      <c r="A19" s="4" t="str">
        <f t="shared" si="1"/>
        <v>DP30-Y311327936</v>
      </c>
      <c r="B19" s="4" t="s">
        <v>10</v>
      </c>
      <c r="C19" s="4" t="s">
        <v>54</v>
      </c>
      <c r="D19" s="4" t="s">
        <v>45</v>
      </c>
      <c r="E19" s="4" t="s">
        <v>13</v>
      </c>
      <c r="F19" s="4" t="s">
        <v>55</v>
      </c>
      <c r="G19" s="4" t="s">
        <v>55</v>
      </c>
      <c r="H19" s="4" t="s">
        <v>16</v>
      </c>
      <c r="I19" s="4"/>
      <c r="J19" s="5" t="s">
        <v>13</v>
      </c>
    </row>
    <row r="20" ht="14.25" customHeight="1">
      <c r="A20" s="4" t="str">
        <f t="shared" si="1"/>
        <v>DP30-Y311427969</v>
      </c>
      <c r="B20" s="4" t="s">
        <v>10</v>
      </c>
      <c r="C20" s="4" t="s">
        <v>56</v>
      </c>
      <c r="D20" s="4" t="s">
        <v>45</v>
      </c>
      <c r="E20" s="4" t="s">
        <v>13</v>
      </c>
      <c r="F20" s="4" t="s">
        <v>57</v>
      </c>
      <c r="G20" s="4" t="s">
        <v>58</v>
      </c>
      <c r="H20" s="4" t="s">
        <v>16</v>
      </c>
      <c r="I20" s="4"/>
      <c r="J20" s="5" t="s">
        <v>13</v>
      </c>
    </row>
    <row r="21" ht="14.25" customHeight="1">
      <c r="A21" s="4" t="str">
        <f t="shared" si="1"/>
        <v>DP30-Y311527958</v>
      </c>
      <c r="B21" s="4" t="s">
        <v>10</v>
      </c>
      <c r="C21" s="4" t="s">
        <v>59</v>
      </c>
      <c r="D21" s="4" t="s">
        <v>45</v>
      </c>
      <c r="E21" s="4" t="s">
        <v>13</v>
      </c>
      <c r="F21" s="4" t="s">
        <v>60</v>
      </c>
      <c r="G21" s="4" t="s">
        <v>61</v>
      </c>
      <c r="H21" s="4" t="s">
        <v>16</v>
      </c>
      <c r="I21" s="4"/>
      <c r="J21" s="5" t="s">
        <v>53</v>
      </c>
    </row>
    <row r="22" ht="14.25" customHeight="1">
      <c r="A22" s="4" t="str">
        <f t="shared" si="1"/>
        <v>DP30-Y311627935</v>
      </c>
      <c r="B22" s="4" t="s">
        <v>10</v>
      </c>
      <c r="C22" s="4" t="s">
        <v>62</v>
      </c>
      <c r="D22" s="4" t="s">
        <v>45</v>
      </c>
      <c r="E22" s="4" t="s">
        <v>13</v>
      </c>
      <c r="F22" s="4" t="s">
        <v>47</v>
      </c>
      <c r="G22" s="4" t="s">
        <v>52</v>
      </c>
      <c r="H22" s="4" t="s">
        <v>16</v>
      </c>
      <c r="I22" s="4"/>
      <c r="J22" s="5" t="s">
        <v>13</v>
      </c>
    </row>
    <row r="23" ht="14.25" customHeight="1">
      <c r="A23" s="4" t="str">
        <f t="shared" si="1"/>
        <v>DP30-Y311727939</v>
      </c>
      <c r="B23" s="4" t="s">
        <v>10</v>
      </c>
      <c r="C23" s="4" t="s">
        <v>63</v>
      </c>
      <c r="D23" s="4" t="s">
        <v>45</v>
      </c>
      <c r="E23" s="4" t="s">
        <v>13</v>
      </c>
      <c r="F23" s="4" t="s">
        <v>47</v>
      </c>
      <c r="G23" s="4" t="s">
        <v>52</v>
      </c>
      <c r="H23" s="4" t="s">
        <v>16</v>
      </c>
      <c r="I23" s="4"/>
      <c r="J23" s="5" t="s">
        <v>13</v>
      </c>
    </row>
    <row r="24" ht="14.25" customHeight="1">
      <c r="A24" s="4" t="str">
        <f t="shared" si="1"/>
        <v>DP30-Y311927918</v>
      </c>
      <c r="B24" s="4" t="s">
        <v>10</v>
      </c>
      <c r="C24" s="4" t="s">
        <v>64</v>
      </c>
      <c r="D24" s="4" t="s">
        <v>45</v>
      </c>
      <c r="E24" s="4" t="s">
        <v>13</v>
      </c>
      <c r="F24" s="4" t="s">
        <v>60</v>
      </c>
      <c r="G24" s="4" t="s">
        <v>65</v>
      </c>
      <c r="H24" s="4" t="s">
        <v>16</v>
      </c>
      <c r="I24" s="4"/>
      <c r="J24" s="5" t="s">
        <v>66</v>
      </c>
    </row>
    <row r="25" ht="14.25" customHeight="1">
      <c r="A25" s="4" t="str">
        <f t="shared" si="1"/>
        <v>DP30-Y311927921</v>
      </c>
      <c r="B25" s="4" t="s">
        <v>10</v>
      </c>
      <c r="C25" s="4" t="s">
        <v>67</v>
      </c>
      <c r="D25" s="4" t="s">
        <v>45</v>
      </c>
      <c r="E25" s="4" t="s">
        <v>13</v>
      </c>
      <c r="F25" s="4" t="s">
        <v>60</v>
      </c>
      <c r="G25" s="4" t="s">
        <v>68</v>
      </c>
      <c r="H25" s="4" t="s">
        <v>16</v>
      </c>
      <c r="I25" s="4"/>
      <c r="J25" s="5" t="s">
        <v>13</v>
      </c>
    </row>
    <row r="26" ht="14.25" customHeight="1">
      <c r="A26" s="4" t="str">
        <f t="shared" si="1"/>
        <v>DP30-Y404729681</v>
      </c>
      <c r="B26" s="4" t="s">
        <v>10</v>
      </c>
      <c r="C26" s="4" t="s">
        <v>69</v>
      </c>
      <c r="D26" s="4" t="s">
        <v>45</v>
      </c>
      <c r="E26" s="4" t="s">
        <v>13</v>
      </c>
      <c r="F26" s="4" t="s">
        <v>57</v>
      </c>
      <c r="G26" s="4" t="s">
        <v>70</v>
      </c>
      <c r="H26" s="4" t="s">
        <v>16</v>
      </c>
      <c r="I26" s="4"/>
      <c r="J26" s="5" t="s">
        <v>13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ht="14.25" customHeight="1">
      <c r="A27" s="4" t="str">
        <f t="shared" si="1"/>
        <v>DP30-Y404929602</v>
      </c>
      <c r="B27" s="4" t="s">
        <v>10</v>
      </c>
      <c r="C27" s="4" t="s">
        <v>71</v>
      </c>
      <c r="D27" s="4" t="s">
        <v>45</v>
      </c>
      <c r="E27" s="4" t="s">
        <v>13</v>
      </c>
      <c r="F27" s="4" t="s">
        <v>57</v>
      </c>
      <c r="G27" s="4" t="s">
        <v>72</v>
      </c>
      <c r="H27" s="4" t="s">
        <v>16</v>
      </c>
      <c r="I27" s="4"/>
      <c r="J27" s="5" t="s">
        <v>13</v>
      </c>
    </row>
    <row r="28" ht="14.25" customHeight="1">
      <c r="A28" s="4" t="str">
        <f t="shared" si="1"/>
        <v>DP30-Y408120969</v>
      </c>
      <c r="B28" s="4" t="s">
        <v>10</v>
      </c>
      <c r="C28" s="4" t="s">
        <v>73</v>
      </c>
      <c r="D28" s="4" t="s">
        <v>45</v>
      </c>
      <c r="E28" s="4" t="s">
        <v>13</v>
      </c>
      <c r="F28" s="4" t="s">
        <v>57</v>
      </c>
      <c r="G28" s="4" t="s">
        <v>74</v>
      </c>
      <c r="H28" s="4" t="s">
        <v>16</v>
      </c>
      <c r="I28" s="9"/>
      <c r="J28" s="10" t="s">
        <v>13</v>
      </c>
    </row>
    <row r="29" ht="14.25" customHeight="1">
      <c r="A29" s="4" t="str">
        <f t="shared" si="1"/>
        <v>DP30-Y408120972</v>
      </c>
      <c r="B29" s="4" t="s">
        <v>10</v>
      </c>
      <c r="C29" s="4" t="s">
        <v>75</v>
      </c>
      <c r="D29" s="4" t="s">
        <v>45</v>
      </c>
      <c r="E29" s="4" t="s">
        <v>13</v>
      </c>
      <c r="F29" s="4" t="s">
        <v>60</v>
      </c>
      <c r="G29" s="4" t="s">
        <v>76</v>
      </c>
      <c r="H29" s="4" t="s">
        <v>16</v>
      </c>
      <c r="I29" s="4"/>
      <c r="J29" s="5" t="s">
        <v>13</v>
      </c>
    </row>
    <row r="30" ht="14.25" customHeight="1">
      <c r="A30" s="4" t="str">
        <f t="shared" si="1"/>
        <v>DP30-Y408320892</v>
      </c>
      <c r="B30" s="4" t="s">
        <v>10</v>
      </c>
      <c r="C30" s="4" t="s">
        <v>77</v>
      </c>
      <c r="D30" s="4" t="s">
        <v>45</v>
      </c>
      <c r="E30" s="4" t="s">
        <v>78</v>
      </c>
      <c r="F30" s="4" t="s">
        <v>55</v>
      </c>
      <c r="G30" s="4" t="s">
        <v>55</v>
      </c>
      <c r="H30" s="4" t="s">
        <v>16</v>
      </c>
      <c r="I30" s="4"/>
      <c r="J30" s="5" t="s">
        <v>79</v>
      </c>
    </row>
    <row r="31" ht="14.25" customHeight="1">
      <c r="A31" s="4" t="str">
        <f t="shared" si="1"/>
        <v>DP30-Y408420979</v>
      </c>
      <c r="B31" s="4" t="s">
        <v>10</v>
      </c>
      <c r="C31" s="4" t="s">
        <v>80</v>
      </c>
      <c r="D31" s="4" t="s">
        <v>45</v>
      </c>
      <c r="E31" s="4" t="s">
        <v>13</v>
      </c>
      <c r="F31" s="4" t="s">
        <v>57</v>
      </c>
      <c r="G31" s="4" t="s">
        <v>81</v>
      </c>
      <c r="H31" s="4" t="s">
        <v>16</v>
      </c>
      <c r="I31" s="4"/>
      <c r="J31" s="5" t="s">
        <v>13</v>
      </c>
    </row>
    <row r="32" ht="14.25" customHeight="1">
      <c r="A32" s="4" t="str">
        <f t="shared" si="1"/>
        <v>DP30-Y408520843</v>
      </c>
      <c r="B32" s="4" t="s">
        <v>10</v>
      </c>
      <c r="C32" s="4" t="s">
        <v>82</v>
      </c>
      <c r="D32" s="4" t="s">
        <v>45</v>
      </c>
      <c r="E32" s="4" t="s">
        <v>13</v>
      </c>
      <c r="F32" s="4" t="s">
        <v>60</v>
      </c>
      <c r="G32" s="4" t="s">
        <v>83</v>
      </c>
      <c r="H32" s="4" t="s">
        <v>16</v>
      </c>
      <c r="I32" s="4"/>
      <c r="J32" s="5" t="s">
        <v>13</v>
      </c>
    </row>
    <row r="33" ht="14.25" customHeight="1">
      <c r="A33" s="4" t="str">
        <f t="shared" si="1"/>
        <v>DP30-Y408620932</v>
      </c>
      <c r="B33" s="4" t="s">
        <v>10</v>
      </c>
      <c r="C33" s="4" t="s">
        <v>84</v>
      </c>
      <c r="D33" s="4" t="s">
        <v>45</v>
      </c>
      <c r="E33" s="4" t="s">
        <v>13</v>
      </c>
      <c r="F33" s="4" t="s">
        <v>60</v>
      </c>
      <c r="G33" s="4" t="s">
        <v>85</v>
      </c>
      <c r="H33" s="4" t="s">
        <v>16</v>
      </c>
      <c r="I33" s="4"/>
      <c r="J33" s="5" t="s">
        <v>13</v>
      </c>
    </row>
    <row r="34" ht="14.25" customHeight="1">
      <c r="A34" s="4" t="str">
        <f t="shared" si="1"/>
        <v>DP30-Y408720767</v>
      </c>
      <c r="B34" s="4" t="s">
        <v>10</v>
      </c>
      <c r="C34" s="4" t="s">
        <v>86</v>
      </c>
      <c r="D34" s="4" t="s">
        <v>45</v>
      </c>
      <c r="E34" s="4" t="s">
        <v>13</v>
      </c>
      <c r="F34" s="4" t="s">
        <v>57</v>
      </c>
      <c r="G34" s="4" t="s">
        <v>87</v>
      </c>
      <c r="H34" s="4" t="s">
        <v>16</v>
      </c>
      <c r="I34" s="4"/>
      <c r="J34" s="5" t="s">
        <v>13</v>
      </c>
    </row>
    <row r="35" ht="14.25" customHeight="1">
      <c r="A35" s="4" t="str">
        <f t="shared" si="1"/>
        <v>DP30-Y408720796</v>
      </c>
      <c r="B35" s="4" t="s">
        <v>10</v>
      </c>
      <c r="C35" s="4" t="s">
        <v>88</v>
      </c>
      <c r="D35" s="4" t="s">
        <v>45</v>
      </c>
      <c r="E35" s="4" t="s">
        <v>13</v>
      </c>
      <c r="F35" s="4" t="s">
        <v>60</v>
      </c>
      <c r="G35" s="4" t="s">
        <v>89</v>
      </c>
      <c r="H35" s="4" t="s">
        <v>16</v>
      </c>
      <c r="I35" s="4"/>
      <c r="J35" s="5" t="s">
        <v>13</v>
      </c>
    </row>
    <row r="36" ht="14.25" customHeight="1">
      <c r="A36" s="4" t="str">
        <f t="shared" si="1"/>
        <v>DP30S-Y41012C730</v>
      </c>
      <c r="B36" s="4" t="s">
        <v>37</v>
      </c>
      <c r="C36" s="4" t="s">
        <v>90</v>
      </c>
      <c r="D36" s="4" t="s">
        <v>45</v>
      </c>
      <c r="E36" s="4" t="s">
        <v>13</v>
      </c>
      <c r="F36" s="4" t="s">
        <v>57</v>
      </c>
      <c r="G36" s="4" t="s">
        <v>91</v>
      </c>
      <c r="H36" s="4" t="s">
        <v>16</v>
      </c>
      <c r="I36" s="4"/>
      <c r="J36" s="5" t="s">
        <v>13</v>
      </c>
    </row>
    <row r="37" ht="14.25" customHeight="1">
      <c r="A37" s="4" t="str">
        <f t="shared" si="1"/>
        <v>DP30S-Y511026239</v>
      </c>
      <c r="B37" s="4" t="s">
        <v>37</v>
      </c>
      <c r="C37" s="4" t="s">
        <v>92</v>
      </c>
      <c r="D37" s="4" t="s">
        <v>45</v>
      </c>
      <c r="E37" s="4" t="s">
        <v>13</v>
      </c>
      <c r="F37" s="4" t="s">
        <v>93</v>
      </c>
      <c r="G37" s="4" t="s">
        <v>93</v>
      </c>
      <c r="H37" s="4" t="s">
        <v>94</v>
      </c>
      <c r="I37" s="4"/>
      <c r="J37" s="5" t="s">
        <v>79</v>
      </c>
    </row>
    <row r="38" ht="14.25" customHeight="1">
      <c r="A38" s="4" t="str">
        <f t="shared" si="1"/>
        <v>DP30S-Y511226390</v>
      </c>
      <c r="B38" s="4" t="s">
        <v>37</v>
      </c>
      <c r="C38" s="4" t="s">
        <v>95</v>
      </c>
      <c r="D38" s="4" t="s">
        <v>45</v>
      </c>
      <c r="E38" s="4" t="s">
        <v>13</v>
      </c>
      <c r="F38" s="4" t="s">
        <v>93</v>
      </c>
      <c r="G38" s="4" t="s">
        <v>96</v>
      </c>
      <c r="H38" s="4" t="s">
        <v>40</v>
      </c>
      <c r="I38" s="4"/>
      <c r="J38" s="5" t="s">
        <v>13</v>
      </c>
    </row>
    <row r="39" ht="14.25" customHeight="1">
      <c r="A39" s="4" t="str">
        <f t="shared" si="1"/>
        <v>DP30S-Y511426287</v>
      </c>
      <c r="B39" s="4" t="s">
        <v>37</v>
      </c>
      <c r="C39" s="4" t="s">
        <v>97</v>
      </c>
      <c r="D39" s="4" t="s">
        <v>45</v>
      </c>
      <c r="E39" s="4" t="s">
        <v>13</v>
      </c>
      <c r="F39" s="4" t="s">
        <v>93</v>
      </c>
      <c r="G39" s="4" t="s">
        <v>93</v>
      </c>
      <c r="H39" s="4" t="s">
        <v>40</v>
      </c>
      <c r="I39" s="4"/>
      <c r="J39" s="5" t="s">
        <v>13</v>
      </c>
    </row>
    <row r="40" ht="14.25" customHeight="1">
      <c r="A40" s="4" t="str">
        <f t="shared" si="1"/>
        <v>DP30S-Y511826371</v>
      </c>
      <c r="B40" s="4" t="s">
        <v>37</v>
      </c>
      <c r="C40" s="4" t="s">
        <v>98</v>
      </c>
      <c r="D40" s="4" t="s">
        <v>45</v>
      </c>
      <c r="E40" s="4" t="s">
        <v>13</v>
      </c>
      <c r="F40" s="4" t="s">
        <v>93</v>
      </c>
      <c r="G40" s="4" t="s">
        <v>93</v>
      </c>
      <c r="H40" s="4" t="s">
        <v>94</v>
      </c>
      <c r="I40" s="4"/>
      <c r="J40" s="5" t="s">
        <v>79</v>
      </c>
    </row>
    <row r="41" ht="14.25" customHeight="1">
      <c r="A41" s="4" t="str">
        <f t="shared" si="1"/>
        <v>DP30S-Y511926281</v>
      </c>
      <c r="B41" s="4" t="s">
        <v>37</v>
      </c>
      <c r="C41" s="4" t="s">
        <v>99</v>
      </c>
      <c r="D41" s="4" t="s">
        <v>45</v>
      </c>
      <c r="E41" s="4" t="s">
        <v>13</v>
      </c>
      <c r="F41" s="4" t="s">
        <v>93</v>
      </c>
      <c r="G41" s="4" t="s">
        <v>93</v>
      </c>
      <c r="H41" s="4" t="s">
        <v>40</v>
      </c>
      <c r="I41" s="4"/>
      <c r="J41" s="5" t="s">
        <v>79</v>
      </c>
    </row>
    <row r="42" ht="14.25" customHeight="1">
      <c r="A42" s="4" t="str">
        <f t="shared" si="1"/>
        <v>DP30S-Y511926393</v>
      </c>
      <c r="B42" s="4" t="s">
        <v>37</v>
      </c>
      <c r="C42" s="4" t="s">
        <v>100</v>
      </c>
      <c r="D42" s="4" t="s">
        <v>45</v>
      </c>
      <c r="E42" s="4" t="s">
        <v>78</v>
      </c>
      <c r="F42" s="4" t="s">
        <v>93</v>
      </c>
      <c r="G42" s="4" t="s">
        <v>93</v>
      </c>
      <c r="H42" s="4" t="s">
        <v>40</v>
      </c>
      <c r="I42" s="4"/>
      <c r="J42" s="5" t="s">
        <v>13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4.25" customHeight="1">
      <c r="A43" s="4" t="str">
        <f t="shared" si="1"/>
        <v>DP30S-Y511926418</v>
      </c>
      <c r="B43" s="4" t="s">
        <v>37</v>
      </c>
      <c r="C43" s="4" t="s">
        <v>101</v>
      </c>
      <c r="D43" s="4" t="s">
        <v>45</v>
      </c>
      <c r="E43" s="4" t="s">
        <v>13</v>
      </c>
      <c r="F43" s="4" t="s">
        <v>93</v>
      </c>
      <c r="G43" s="4" t="s">
        <v>93</v>
      </c>
      <c r="H43" s="4" t="s">
        <v>40</v>
      </c>
      <c r="I43" s="4"/>
      <c r="J43" s="5" t="s">
        <v>102</v>
      </c>
    </row>
    <row r="44" ht="14.25" customHeight="1">
      <c r="A44" s="4" t="str">
        <f t="shared" si="1"/>
        <v>DP30-Y311327923</v>
      </c>
      <c r="B44" s="4" t="s">
        <v>10</v>
      </c>
      <c r="C44" s="4" t="s">
        <v>103</v>
      </c>
      <c r="D44" s="4" t="s">
        <v>104</v>
      </c>
      <c r="E44" s="4" t="s">
        <v>13</v>
      </c>
      <c r="F44" s="4" t="s">
        <v>105</v>
      </c>
      <c r="G44" s="4" t="s">
        <v>106</v>
      </c>
      <c r="H44" s="4" t="s">
        <v>16</v>
      </c>
      <c r="I44" s="4"/>
      <c r="J44" s="5" t="s">
        <v>13</v>
      </c>
    </row>
    <row r="45" ht="14.25" customHeight="1">
      <c r="A45" s="4" t="str">
        <f t="shared" si="1"/>
        <v>DP30-Y311527932</v>
      </c>
      <c r="B45" s="4" t="s">
        <v>10</v>
      </c>
      <c r="C45" s="4" t="s">
        <v>107</v>
      </c>
      <c r="D45" s="4" t="s">
        <v>104</v>
      </c>
      <c r="E45" s="4" t="s">
        <v>13</v>
      </c>
      <c r="F45" s="4" t="s">
        <v>105</v>
      </c>
      <c r="G45" s="4" t="s">
        <v>108</v>
      </c>
      <c r="H45" s="4" t="s">
        <v>16</v>
      </c>
      <c r="I45" s="4"/>
      <c r="J45" s="5" t="s">
        <v>13</v>
      </c>
    </row>
    <row r="46" ht="14.25" customHeight="1">
      <c r="A46" s="4" t="str">
        <f t="shared" si="1"/>
        <v>DP30-Y40492A341</v>
      </c>
      <c r="B46" s="4" t="s">
        <v>10</v>
      </c>
      <c r="C46" s="4" t="s">
        <v>109</v>
      </c>
      <c r="D46" s="4" t="s">
        <v>104</v>
      </c>
      <c r="E46" s="4" t="s">
        <v>13</v>
      </c>
      <c r="F46" s="4" t="s">
        <v>105</v>
      </c>
      <c r="G46" s="4" t="s">
        <v>110</v>
      </c>
      <c r="H46" s="4" t="s">
        <v>16</v>
      </c>
      <c r="I46" s="4"/>
      <c r="J46" s="5" t="s">
        <v>13</v>
      </c>
    </row>
    <row r="47" ht="14.25" customHeight="1">
      <c r="A47" s="4" t="str">
        <f t="shared" si="1"/>
        <v>DP30-Y408120802</v>
      </c>
      <c r="B47" s="4" t="s">
        <v>10</v>
      </c>
      <c r="C47" s="4" t="s">
        <v>111</v>
      </c>
      <c r="D47" s="4" t="s">
        <v>104</v>
      </c>
      <c r="E47" s="4" t="s">
        <v>13</v>
      </c>
      <c r="F47" s="4" t="s">
        <v>105</v>
      </c>
      <c r="G47" s="4" t="s">
        <v>112</v>
      </c>
      <c r="H47" s="4" t="s">
        <v>16</v>
      </c>
      <c r="I47" s="4"/>
      <c r="J47" s="5" t="s">
        <v>13</v>
      </c>
    </row>
    <row r="48" ht="14.25" customHeight="1">
      <c r="A48" s="12" t="str">
        <f t="shared" si="1"/>
        <v>DP30-Y405021792</v>
      </c>
      <c r="B48" s="12" t="s">
        <v>10</v>
      </c>
      <c r="C48" s="12" t="s">
        <v>113</v>
      </c>
      <c r="D48" s="12" t="s">
        <v>114</v>
      </c>
      <c r="E48" s="12" t="s">
        <v>115</v>
      </c>
      <c r="F48" s="12" t="s">
        <v>116</v>
      </c>
      <c r="G48" s="12" t="s">
        <v>116</v>
      </c>
      <c r="H48" s="12" t="s">
        <v>16</v>
      </c>
      <c r="I48" s="12"/>
      <c r="J48" s="12" t="s">
        <v>117</v>
      </c>
    </row>
    <row r="49" ht="14.25" customHeight="1">
      <c r="A49" s="4" t="str">
        <f t="shared" si="1"/>
        <v>DP30-Y408320917</v>
      </c>
      <c r="B49" s="4" t="s">
        <v>10</v>
      </c>
      <c r="C49" s="4" t="s">
        <v>118</v>
      </c>
      <c r="D49" s="4" t="s">
        <v>119</v>
      </c>
      <c r="E49" s="4" t="s">
        <v>13</v>
      </c>
      <c r="F49" s="4" t="s">
        <v>120</v>
      </c>
      <c r="G49" s="4" t="s">
        <v>120</v>
      </c>
      <c r="H49" s="4" t="s">
        <v>16</v>
      </c>
      <c r="I49" s="4"/>
      <c r="J49" s="4"/>
      <c r="K49" s="13" t="s">
        <v>121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4.25" customHeight="1">
      <c r="A50" s="4" t="str">
        <f t="shared" si="1"/>
        <v>DP30-Y402027050</v>
      </c>
      <c r="B50" s="4" t="s">
        <v>10</v>
      </c>
      <c r="C50" s="4" t="s">
        <v>122</v>
      </c>
      <c r="D50" s="4" t="s">
        <v>123</v>
      </c>
      <c r="E50" s="4" t="s">
        <v>13</v>
      </c>
      <c r="F50" s="4" t="s">
        <v>124</v>
      </c>
      <c r="G50" s="4" t="s">
        <v>125</v>
      </c>
      <c r="H50" s="4" t="s">
        <v>16</v>
      </c>
      <c r="I50" s="4"/>
      <c r="J50" s="5" t="s">
        <v>13</v>
      </c>
    </row>
    <row r="51" ht="14.25" customHeight="1">
      <c r="A51" s="4" t="str">
        <f t="shared" si="1"/>
        <v>DP30-Y404829718</v>
      </c>
      <c r="B51" s="4" t="s">
        <v>10</v>
      </c>
      <c r="C51" s="4" t="s">
        <v>126</v>
      </c>
      <c r="D51" s="4" t="s">
        <v>123</v>
      </c>
      <c r="E51" s="4" t="s">
        <v>127</v>
      </c>
      <c r="F51" s="4" t="s">
        <v>124</v>
      </c>
      <c r="G51" s="4" t="s">
        <v>128</v>
      </c>
      <c r="H51" s="4" t="s">
        <v>16</v>
      </c>
      <c r="I51" s="4"/>
      <c r="J51" s="5" t="s">
        <v>129</v>
      </c>
    </row>
    <row r="52" ht="14.25" customHeight="1">
      <c r="A52" s="4" t="str">
        <f t="shared" si="1"/>
        <v>DP30-Y405321829</v>
      </c>
      <c r="B52" s="4" t="s">
        <v>10</v>
      </c>
      <c r="C52" s="4" t="s">
        <v>130</v>
      </c>
      <c r="D52" s="4" t="s">
        <v>123</v>
      </c>
      <c r="E52" s="4" t="s">
        <v>13</v>
      </c>
      <c r="F52" s="4" t="s">
        <v>124</v>
      </c>
      <c r="G52" s="4" t="s">
        <v>131</v>
      </c>
      <c r="H52" s="4" t="s">
        <v>16</v>
      </c>
      <c r="I52" s="4"/>
      <c r="J52" s="6" t="s">
        <v>132</v>
      </c>
    </row>
    <row r="53" ht="14.25" customHeight="1">
      <c r="A53" s="4" t="str">
        <f t="shared" si="1"/>
        <v>DP30-Y408120930</v>
      </c>
      <c r="B53" s="4" t="s">
        <v>10</v>
      </c>
      <c r="C53" s="4" t="s">
        <v>133</v>
      </c>
      <c r="D53" s="4" t="s">
        <v>123</v>
      </c>
      <c r="E53" s="4" t="s">
        <v>13</v>
      </c>
      <c r="F53" s="4" t="s">
        <v>128</v>
      </c>
      <c r="G53" s="4" t="s">
        <v>128</v>
      </c>
      <c r="H53" s="4" t="s">
        <v>16</v>
      </c>
      <c r="I53" s="4"/>
      <c r="J53" s="5" t="s">
        <v>134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4.25" customHeight="1">
      <c r="A54" s="4" t="str">
        <f t="shared" si="1"/>
        <v>DP30-Y408320946</v>
      </c>
      <c r="B54" s="4" t="s">
        <v>10</v>
      </c>
      <c r="C54" s="4" t="s">
        <v>135</v>
      </c>
      <c r="D54" s="4" t="s">
        <v>123</v>
      </c>
      <c r="E54" s="4" t="s">
        <v>13</v>
      </c>
      <c r="F54" s="4" t="s">
        <v>124</v>
      </c>
      <c r="G54" s="4" t="s">
        <v>136</v>
      </c>
      <c r="H54" s="4" t="s">
        <v>16</v>
      </c>
      <c r="I54" s="4"/>
      <c r="J54" s="5" t="s">
        <v>13</v>
      </c>
    </row>
    <row r="55" ht="14.25" customHeight="1">
      <c r="A55" s="4" t="str">
        <f t="shared" si="1"/>
        <v>DP30-Y408520971</v>
      </c>
      <c r="B55" s="4" t="s">
        <v>10</v>
      </c>
      <c r="C55" s="4" t="s">
        <v>137</v>
      </c>
      <c r="D55" s="4" t="s">
        <v>123</v>
      </c>
      <c r="E55" s="4" t="s">
        <v>138</v>
      </c>
      <c r="F55" s="4" t="s">
        <v>128</v>
      </c>
      <c r="G55" s="4" t="s">
        <v>128</v>
      </c>
      <c r="H55" s="4" t="s">
        <v>16</v>
      </c>
      <c r="I55" s="4"/>
      <c r="J55" s="5" t="s">
        <v>139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4.25" customHeight="1">
      <c r="A56" s="4" t="str">
        <f t="shared" si="1"/>
        <v>DP30-Y408820782</v>
      </c>
      <c r="B56" s="4" t="s">
        <v>10</v>
      </c>
      <c r="C56" s="4" t="s">
        <v>140</v>
      </c>
      <c r="D56" s="4" t="s">
        <v>123</v>
      </c>
      <c r="E56" s="4" t="s">
        <v>13</v>
      </c>
      <c r="F56" s="4" t="s">
        <v>124</v>
      </c>
      <c r="G56" s="4" t="s">
        <v>128</v>
      </c>
      <c r="H56" s="4" t="s">
        <v>16</v>
      </c>
      <c r="I56" s="4"/>
      <c r="J56" s="5" t="s">
        <v>13</v>
      </c>
    </row>
    <row r="57" ht="14.25" customHeight="1">
      <c r="A57" s="4" t="str">
        <f t="shared" si="1"/>
        <v>DP30S-Y511226402</v>
      </c>
      <c r="B57" s="4" t="s">
        <v>37</v>
      </c>
      <c r="C57" s="4" t="s">
        <v>141</v>
      </c>
      <c r="D57" s="4" t="s">
        <v>123</v>
      </c>
      <c r="E57" s="4" t="s">
        <v>13</v>
      </c>
      <c r="F57" s="4" t="s">
        <v>142</v>
      </c>
      <c r="G57" s="4" t="s">
        <v>143</v>
      </c>
      <c r="H57" s="4" t="s">
        <v>16</v>
      </c>
      <c r="I57" s="4"/>
      <c r="J57" s="5" t="s">
        <v>144</v>
      </c>
    </row>
    <row r="58" ht="14.25" customHeight="1">
      <c r="A58" s="14" t="str">
        <f t="shared" si="1"/>
        <v>DP30S-Y511326171</v>
      </c>
      <c r="B58" s="14" t="s">
        <v>37</v>
      </c>
      <c r="C58" s="14" t="s">
        <v>145</v>
      </c>
      <c r="D58" s="14" t="s">
        <v>123</v>
      </c>
      <c r="E58" s="14" t="s">
        <v>13</v>
      </c>
      <c r="F58" s="14" t="s">
        <v>142</v>
      </c>
      <c r="G58" s="14"/>
      <c r="H58" s="14"/>
      <c r="I58" s="14"/>
      <c r="J58" s="14"/>
      <c r="K58" s="15" t="s">
        <v>146</v>
      </c>
      <c r="L58" s="16" t="s">
        <v>147</v>
      </c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ht="14.25" customHeight="1">
      <c r="A59" s="4" t="str">
        <f t="shared" si="1"/>
        <v>DP30S-Y511326340</v>
      </c>
      <c r="B59" s="4" t="s">
        <v>37</v>
      </c>
      <c r="C59" s="4" t="s">
        <v>148</v>
      </c>
      <c r="D59" s="4" t="s">
        <v>123</v>
      </c>
      <c r="E59" s="4" t="s">
        <v>13</v>
      </c>
      <c r="F59" s="4" t="s">
        <v>128</v>
      </c>
      <c r="G59" s="4" t="s">
        <v>128</v>
      </c>
      <c r="H59" s="4" t="s">
        <v>40</v>
      </c>
      <c r="I59" s="4"/>
      <c r="J59" s="5" t="s">
        <v>102</v>
      </c>
    </row>
    <row r="60" ht="14.25" customHeight="1">
      <c r="A60" s="4" t="str">
        <f t="shared" si="1"/>
        <v>DP30S-Y511326353</v>
      </c>
      <c r="B60" s="4" t="s">
        <v>37</v>
      </c>
      <c r="C60" s="4" t="s">
        <v>149</v>
      </c>
      <c r="D60" s="4" t="s">
        <v>123</v>
      </c>
      <c r="E60" s="4" t="s">
        <v>13</v>
      </c>
      <c r="F60" s="4" t="s">
        <v>142</v>
      </c>
      <c r="G60" s="4" t="s">
        <v>150</v>
      </c>
      <c r="H60" s="4"/>
      <c r="I60" s="4"/>
      <c r="J60" s="5" t="s">
        <v>144</v>
      </c>
    </row>
    <row r="61" ht="14.25" customHeight="1">
      <c r="A61" s="14" t="str">
        <f t="shared" si="1"/>
        <v>DP30S-Y511626378</v>
      </c>
      <c r="B61" s="14" t="s">
        <v>37</v>
      </c>
      <c r="C61" s="14" t="s">
        <v>151</v>
      </c>
      <c r="D61" s="14" t="s">
        <v>123</v>
      </c>
      <c r="E61" s="14" t="s">
        <v>13</v>
      </c>
      <c r="F61" s="14" t="s">
        <v>142</v>
      </c>
      <c r="G61" s="14"/>
      <c r="H61" s="14"/>
      <c r="I61" s="14"/>
      <c r="J61" s="14"/>
      <c r="K61" s="15" t="s">
        <v>152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ht="14.25" customHeight="1">
      <c r="A62" s="4" t="str">
        <f t="shared" si="1"/>
        <v>DP30S-Y511826368</v>
      </c>
      <c r="B62" s="4" t="s">
        <v>37</v>
      </c>
      <c r="C62" s="4" t="s">
        <v>153</v>
      </c>
      <c r="D62" s="4" t="s">
        <v>123</v>
      </c>
      <c r="E62" s="4" t="s">
        <v>13</v>
      </c>
      <c r="F62" s="4" t="s">
        <v>143</v>
      </c>
      <c r="G62" s="4" t="s">
        <v>143</v>
      </c>
      <c r="H62" s="4" t="s">
        <v>16</v>
      </c>
      <c r="I62" s="4"/>
      <c r="J62" s="5" t="s">
        <v>79</v>
      </c>
    </row>
    <row r="63" ht="14.25" customHeight="1">
      <c r="A63" s="17" t="str">
        <f t="shared" si="1"/>
        <v>DP30S-Y511426146</v>
      </c>
      <c r="B63" s="17" t="s">
        <v>37</v>
      </c>
      <c r="C63" s="17" t="s">
        <v>154</v>
      </c>
      <c r="D63" s="17" t="s">
        <v>123</v>
      </c>
      <c r="E63" s="17" t="s">
        <v>13</v>
      </c>
      <c r="F63" s="17" t="s">
        <v>143</v>
      </c>
      <c r="G63" s="17" t="s">
        <v>143</v>
      </c>
      <c r="H63" s="17" t="s">
        <v>16</v>
      </c>
      <c r="I63" s="17"/>
      <c r="J63" s="5" t="s">
        <v>79</v>
      </c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4.25" customHeight="1">
      <c r="A64" s="17" t="str">
        <f t="shared" si="1"/>
        <v>DP30S-Y511626167</v>
      </c>
      <c r="B64" s="17" t="s">
        <v>37</v>
      </c>
      <c r="C64" s="17" t="s">
        <v>155</v>
      </c>
      <c r="D64" s="17" t="s">
        <v>123</v>
      </c>
      <c r="E64" s="17" t="s">
        <v>13</v>
      </c>
      <c r="F64" s="17" t="s">
        <v>143</v>
      </c>
      <c r="G64" s="17" t="s">
        <v>143</v>
      </c>
      <c r="H64" s="17" t="s">
        <v>16</v>
      </c>
      <c r="I64" s="17"/>
      <c r="J64" s="5" t="s">
        <v>144</v>
      </c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4.25" customHeight="1">
      <c r="A65" s="4" t="str">
        <f t="shared" si="1"/>
        <v>DP30S-Y511926179</v>
      </c>
      <c r="B65" s="4" t="s">
        <v>37</v>
      </c>
      <c r="C65" s="4" t="s">
        <v>156</v>
      </c>
      <c r="D65" s="4" t="s">
        <v>123</v>
      </c>
      <c r="E65" s="4" t="s">
        <v>13</v>
      </c>
      <c r="F65" s="4" t="s">
        <v>142</v>
      </c>
      <c r="G65" s="4" t="s">
        <v>150</v>
      </c>
      <c r="H65" s="4"/>
      <c r="I65" s="4"/>
      <c r="J65" s="5" t="s">
        <v>144</v>
      </c>
    </row>
    <row r="66" ht="14.25" customHeight="1">
      <c r="A66" s="14" t="str">
        <f t="shared" si="1"/>
        <v>DP30S-Y512028285</v>
      </c>
      <c r="B66" s="14" t="s">
        <v>37</v>
      </c>
      <c r="C66" s="14" t="s">
        <v>157</v>
      </c>
      <c r="D66" s="14" t="s">
        <v>123</v>
      </c>
      <c r="E66" s="14" t="s">
        <v>13</v>
      </c>
      <c r="F66" s="14" t="s">
        <v>142</v>
      </c>
      <c r="G66" s="14"/>
      <c r="H66" s="14"/>
      <c r="I66" s="14"/>
      <c r="J66" s="14"/>
      <c r="K66" s="15" t="s">
        <v>152</v>
      </c>
      <c r="L66" s="16" t="s">
        <v>158</v>
      </c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ht="14.25" customHeight="1">
      <c r="A67" s="4" t="str">
        <f t="shared" si="1"/>
        <v>DP30S-Y512428262</v>
      </c>
      <c r="B67" s="4" t="s">
        <v>37</v>
      </c>
      <c r="C67" s="5" t="s">
        <v>159</v>
      </c>
      <c r="D67" s="4" t="s">
        <v>123</v>
      </c>
      <c r="E67" s="4" t="s">
        <v>13</v>
      </c>
      <c r="F67" s="4" t="s">
        <v>142</v>
      </c>
      <c r="G67" s="4" t="s">
        <v>150</v>
      </c>
      <c r="H67" s="4"/>
      <c r="I67" s="4"/>
      <c r="J67" s="5" t="s">
        <v>144</v>
      </c>
      <c r="K67" s="19" t="s">
        <v>160</v>
      </c>
    </row>
    <row r="68" ht="14.25" customHeight="1">
      <c r="A68" s="14" t="str">
        <f t="shared" si="1"/>
        <v>DP30S-Y512728203</v>
      </c>
      <c r="B68" s="14" t="s">
        <v>37</v>
      </c>
      <c r="C68" s="14" t="s">
        <v>161</v>
      </c>
      <c r="D68" s="14" t="s">
        <v>123</v>
      </c>
      <c r="E68" s="14" t="s">
        <v>13</v>
      </c>
      <c r="F68" s="14" t="s">
        <v>142</v>
      </c>
      <c r="G68" s="14"/>
      <c r="H68" s="14"/>
      <c r="I68" s="14"/>
      <c r="J68" s="14"/>
      <c r="K68" s="15" t="s">
        <v>152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ht="14.25" customHeight="1">
      <c r="A69" s="14" t="str">
        <f>CONCATENATE(B69,"-",C68)</f>
        <v>DP30S-Y512728203</v>
      </c>
      <c r="B69" s="14" t="s">
        <v>37</v>
      </c>
      <c r="C69" s="14" t="s">
        <v>162</v>
      </c>
      <c r="D69" s="14" t="s">
        <v>123</v>
      </c>
      <c r="E69" s="14" t="s">
        <v>13</v>
      </c>
      <c r="F69" s="14" t="s">
        <v>142</v>
      </c>
      <c r="G69" s="14"/>
      <c r="H69" s="14"/>
      <c r="I69" s="14"/>
      <c r="J69" s="14"/>
      <c r="K69" s="15" t="s">
        <v>152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ht="14.25" customHeight="1">
      <c r="A70" s="4" t="str">
        <f t="shared" ref="A70:A74" si="2">CONCATENATE(B70,"-",C70)</f>
        <v>DP30-Y408020950</v>
      </c>
      <c r="B70" s="4" t="s">
        <v>10</v>
      </c>
      <c r="C70" s="9" t="s">
        <v>163</v>
      </c>
      <c r="D70" s="4" t="s">
        <v>164</v>
      </c>
      <c r="E70" s="4" t="s">
        <v>13</v>
      </c>
      <c r="F70" s="4" t="s">
        <v>165</v>
      </c>
      <c r="G70" s="4" t="s">
        <v>165</v>
      </c>
      <c r="H70" s="4" t="s">
        <v>16</v>
      </c>
      <c r="I70" s="4"/>
      <c r="J70" s="5" t="s">
        <v>79</v>
      </c>
    </row>
    <row r="71" ht="14.25" customHeight="1">
      <c r="A71" s="4" t="str">
        <f t="shared" si="2"/>
        <v>DP30-Y408320920</v>
      </c>
      <c r="B71" s="4" t="s">
        <v>10</v>
      </c>
      <c r="C71" s="4" t="s">
        <v>166</v>
      </c>
      <c r="D71" s="4" t="s">
        <v>164</v>
      </c>
      <c r="E71" s="4" t="s">
        <v>13</v>
      </c>
      <c r="F71" s="4" t="s">
        <v>165</v>
      </c>
      <c r="G71" s="4" t="s">
        <v>167</v>
      </c>
      <c r="H71" s="4" t="s">
        <v>16</v>
      </c>
      <c r="I71" s="4"/>
      <c r="J71" s="5" t="s">
        <v>79</v>
      </c>
    </row>
    <row r="72" ht="14.25" customHeight="1">
      <c r="A72" s="4" t="str">
        <f t="shared" si="2"/>
        <v>PD30-Y408420797</v>
      </c>
      <c r="B72" s="4" t="s">
        <v>168</v>
      </c>
      <c r="C72" s="4" t="s">
        <v>169</v>
      </c>
      <c r="D72" s="4" t="s">
        <v>164</v>
      </c>
      <c r="E72" s="4" t="s">
        <v>13</v>
      </c>
      <c r="F72" s="4" t="s">
        <v>165</v>
      </c>
      <c r="G72" s="4" t="s">
        <v>170</v>
      </c>
      <c r="H72" s="4" t="s">
        <v>16</v>
      </c>
      <c r="I72" s="4"/>
      <c r="J72" s="5" t="s">
        <v>79</v>
      </c>
    </row>
    <row r="73" ht="14.25" customHeight="1">
      <c r="A73" s="4" t="str">
        <f t="shared" si="2"/>
        <v>DP30-Y404029676</v>
      </c>
      <c r="B73" s="4" t="s">
        <v>10</v>
      </c>
      <c r="C73" s="4" t="s">
        <v>171</v>
      </c>
      <c r="D73" s="4" t="s">
        <v>172</v>
      </c>
      <c r="E73" s="4" t="s">
        <v>13</v>
      </c>
      <c r="F73" s="4" t="s">
        <v>173</v>
      </c>
      <c r="G73" s="4" t="s">
        <v>173</v>
      </c>
      <c r="H73" s="4" t="s">
        <v>16</v>
      </c>
      <c r="I73" s="4"/>
      <c r="J73" s="5" t="s">
        <v>13</v>
      </c>
    </row>
    <row r="74" ht="14.25" customHeight="1">
      <c r="A74" s="4" t="str">
        <f t="shared" si="2"/>
        <v>DP30-Y408020765</v>
      </c>
      <c r="B74" s="4" t="s">
        <v>10</v>
      </c>
      <c r="C74" s="4" t="s">
        <v>174</v>
      </c>
      <c r="D74" s="4" t="s">
        <v>172</v>
      </c>
      <c r="E74" s="4" t="s">
        <v>13</v>
      </c>
      <c r="F74" s="4" t="s">
        <v>173</v>
      </c>
      <c r="G74" s="4" t="s">
        <v>173</v>
      </c>
      <c r="H74" s="4" t="s">
        <v>16</v>
      </c>
      <c r="I74" s="4"/>
      <c r="J74" s="5" t="s">
        <v>13</v>
      </c>
    </row>
    <row r="75" ht="14.25" customHeight="1">
      <c r="A75" s="4" t="s">
        <v>175</v>
      </c>
      <c r="B75" s="4" t="s">
        <v>10</v>
      </c>
      <c r="C75" s="4" t="s">
        <v>176</v>
      </c>
      <c r="D75" s="4" t="s">
        <v>45</v>
      </c>
      <c r="E75" s="4" t="s">
        <v>13</v>
      </c>
      <c r="F75" s="4" t="s">
        <v>47</v>
      </c>
      <c r="G75" s="4" t="s">
        <v>177</v>
      </c>
      <c r="H75" s="4" t="s">
        <v>178</v>
      </c>
      <c r="I75" s="4"/>
      <c r="J75" s="5" t="s">
        <v>179</v>
      </c>
    </row>
    <row r="76" ht="14.25" customHeight="1">
      <c r="A76" s="4" t="s">
        <v>180</v>
      </c>
      <c r="B76" s="4" t="s">
        <v>10</v>
      </c>
      <c r="C76" s="4" t="s">
        <v>181</v>
      </c>
      <c r="D76" s="4" t="s">
        <v>182</v>
      </c>
      <c r="E76" s="4" t="s">
        <v>183</v>
      </c>
      <c r="F76" s="4" t="s">
        <v>184</v>
      </c>
      <c r="G76" s="4" t="s">
        <v>185</v>
      </c>
      <c r="H76" s="4"/>
      <c r="I76" s="4"/>
      <c r="J76" s="5" t="s">
        <v>179</v>
      </c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J$76"/>
  <printOptions/>
  <pageMargins bottom="0.75" footer="0.0" header="0.0" left="0.7" right="0.7" top="0.75"/>
  <pageSetup paperSize="9" orientation="portrait"/>
  <drawing r:id="rId1"/>
</worksheet>
</file>